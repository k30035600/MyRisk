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Readme/"/>
    </mc:Choice>
  </mc:AlternateContent>
  <xr:revisionPtr revIDLastSave="460" documentId="8_{2E4D61C3-4A07-4E0D-832C-82920B5B340C}" xr6:coauthVersionLast="47" xr6:coauthVersionMax="47" xr10:uidLastSave="{B396ADD4-7EB7-4D88-8166-D7322C75FD74}"/>
  <bookViews>
    <workbookView xWindow="38280" yWindow="-120" windowWidth="29040" windowHeight="15720" xr2:uid="{5B83DEC6-BDCD-4EA1-B13F-D3D94017C9C1}"/>
  </bookViews>
  <sheets>
    <sheet name="은행카드통합" sheetId="2" r:id="rId1"/>
    <sheet name="소득금액" sheetId="1" r:id="rId2"/>
    <sheet name="하나은행" sheetId="3" r:id="rId3"/>
    <sheet name="국민은행" sheetId="4" r:id="rId4"/>
    <sheet name="신한은행" sheetId="5" r:id="rId5"/>
    <sheet name="우리은행" sheetId="6" r:id="rId6"/>
    <sheet name="케이뱅크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2" l="1"/>
  <c r="H32" i="2"/>
  <c r="H44" i="2" s="1"/>
  <c r="J25" i="1"/>
  <c r="D24" i="1"/>
  <c r="E24" i="1"/>
  <c r="F24" i="1"/>
  <c r="G24" i="1"/>
  <c r="I24" i="1"/>
  <c r="C24" i="1"/>
  <c r="D18" i="1"/>
  <c r="D25" i="1" s="1"/>
  <c r="F18" i="1"/>
  <c r="F25" i="1" s="1"/>
  <c r="G18" i="1"/>
  <c r="G25" i="1" s="1"/>
  <c r="I18" i="1"/>
  <c r="I25" i="1" s="1"/>
  <c r="C18" i="1"/>
  <c r="C25" i="1" s="1"/>
  <c r="H38" i="2"/>
  <c r="H16" i="1"/>
  <c r="E16" i="1"/>
  <c r="H17" i="1"/>
  <c r="E17" i="1"/>
  <c r="H13" i="1"/>
  <c r="E13" i="1"/>
  <c r="H11" i="1"/>
  <c r="E11" i="1"/>
  <c r="H9" i="1"/>
  <c r="E9" i="1"/>
  <c r="H7" i="1"/>
  <c r="E7" i="1"/>
  <c r="H6" i="1"/>
  <c r="E6" i="1"/>
  <c r="H5" i="1"/>
  <c r="E5" i="1"/>
  <c r="H10" i="1"/>
  <c r="H12" i="1"/>
  <c r="H14" i="1"/>
  <c r="H15" i="1"/>
  <c r="H19" i="1"/>
  <c r="H24" i="1" s="1"/>
  <c r="H20" i="1"/>
  <c r="H21" i="1"/>
  <c r="H22" i="1"/>
  <c r="H23" i="1"/>
  <c r="E10" i="1"/>
  <c r="E12" i="1"/>
  <c r="E14" i="1"/>
  <c r="E15" i="1"/>
  <c r="E19" i="1"/>
  <c r="E20" i="1"/>
  <c r="E21" i="1"/>
  <c r="E22" i="1"/>
  <c r="E23" i="1"/>
  <c r="H8" i="1"/>
  <c r="E8" i="1"/>
  <c r="H18" i="1" l="1"/>
  <c r="H25" i="1" s="1"/>
  <c r="E18" i="1"/>
  <c r="E25" i="1" s="1"/>
</calcChain>
</file>

<file path=xl/sharedStrings.xml><?xml version="1.0" encoding="utf-8"?>
<sst xmlns="http://schemas.openxmlformats.org/spreadsheetml/2006/main" count="198" uniqueCount="129">
  <si>
    <t>근로소득</t>
    <phoneticPr fontId="2" type="noConversion"/>
  </si>
  <si>
    <t>대주건설㈜</t>
    <phoneticPr fontId="2" type="noConversion"/>
  </si>
  <si>
    <t>㈜석송</t>
    <phoneticPr fontId="2" type="noConversion"/>
  </si>
  <si>
    <t>소득금액</t>
    <phoneticPr fontId="2" type="noConversion"/>
  </si>
  <si>
    <t>총결정세액</t>
    <phoneticPr fontId="2" type="noConversion"/>
  </si>
  <si>
    <t>2016년</t>
  </si>
  <si>
    <t>2015년</t>
    <phoneticPr fontId="2" type="noConversion"/>
  </si>
  <si>
    <t>아하엔지니어링㈜</t>
    <phoneticPr fontId="2" type="noConversion"/>
  </si>
  <si>
    <t>2017년</t>
  </si>
  <si>
    <t>2018년</t>
  </si>
  <si>
    <t>에스제이와이건설㈜</t>
    <phoneticPr fontId="2" type="noConversion"/>
  </si>
  <si>
    <t>2019년</t>
  </si>
  <si>
    <t>수입금액</t>
    <phoneticPr fontId="2" type="noConversion"/>
  </si>
  <si>
    <t>연말정산</t>
    <phoneticPr fontId="2" type="noConversion"/>
  </si>
  <si>
    <t>종합과세</t>
    <phoneticPr fontId="2" type="noConversion"/>
  </si>
  <si>
    <t>사업소득</t>
    <phoneticPr fontId="2" type="noConversion"/>
  </si>
  <si>
    <t>비고</t>
    <phoneticPr fontId="2" type="noConversion"/>
  </si>
  <si>
    <t>합계금액</t>
    <phoneticPr fontId="2" type="noConversion"/>
  </si>
  <si>
    <t>2020년</t>
  </si>
  <si>
    <t>2021년</t>
  </si>
  <si>
    <t>2022년</t>
  </si>
  <si>
    <t>2023년</t>
  </si>
  <si>
    <t>2024년</t>
  </si>
  <si>
    <t>2025년</t>
  </si>
  <si>
    <t>일용근로</t>
    <phoneticPr fontId="2" type="noConversion"/>
  </si>
  <si>
    <t>㈜마루디자인</t>
    <phoneticPr fontId="2" type="noConversion"/>
  </si>
  <si>
    <t>㈜우송</t>
    <phoneticPr fontId="2" type="noConversion"/>
  </si>
  <si>
    <t>과세구분</t>
    <phoneticPr fontId="2" type="noConversion"/>
  </si>
  <si>
    <t>국민은행</t>
    <phoneticPr fontId="2" type="noConversion"/>
  </si>
  <si>
    <t>하나은행</t>
    <phoneticPr fontId="2" type="noConversion"/>
  </si>
  <si>
    <t>신한은행</t>
    <phoneticPr fontId="2" type="noConversion"/>
  </si>
  <si>
    <t>우리은행</t>
    <phoneticPr fontId="2" type="noConversion"/>
  </si>
  <si>
    <t>케이뱅크</t>
    <phoneticPr fontId="2" type="noConversion"/>
  </si>
  <si>
    <t>KB국민카드</t>
    <phoneticPr fontId="2" type="noConversion"/>
  </si>
  <si>
    <t>신한카드</t>
    <phoneticPr fontId="2" type="noConversion"/>
  </si>
  <si>
    <t>하나카드</t>
    <phoneticPr fontId="2" type="noConversion"/>
  </si>
  <si>
    <t>현대카드</t>
    <phoneticPr fontId="2" type="noConversion"/>
  </si>
  <si>
    <t>본인</t>
    <phoneticPr fontId="2" type="noConversion"/>
  </si>
  <si>
    <t>가족</t>
    <phoneticPr fontId="2" type="noConversion"/>
  </si>
  <si>
    <t>KB국민 정체카드</t>
    <phoneticPr fontId="2" type="noConversion"/>
  </si>
  <si>
    <t>KB국민 트래블러스 체크카드(토이심)_비교</t>
    <phoneticPr fontId="2" type="noConversion"/>
  </si>
  <si>
    <t>Simple Platinum #</t>
    <phoneticPr fontId="2" type="noConversion"/>
  </si>
  <si>
    <t>내맘대로 뿜 커드 (Basic Design)</t>
    <phoneticPr fontId="2" type="noConversion"/>
  </si>
  <si>
    <t>ZERO 포인트형</t>
    <phoneticPr fontId="2" type="noConversion"/>
  </si>
  <si>
    <t>100-202-424706</t>
    <phoneticPr fontId="2" type="noConversion"/>
  </si>
  <si>
    <t>계좌번호</t>
    <phoneticPr fontId="2" type="noConversion"/>
  </si>
  <si>
    <t>개설일</t>
    <phoneticPr fontId="2" type="noConversion"/>
  </si>
  <si>
    <t>금융기관</t>
    <phoneticPr fontId="2" type="noConversion"/>
  </si>
  <si>
    <t>구분</t>
    <phoneticPr fontId="2" type="noConversion"/>
  </si>
  <si>
    <t>433-910335-80107</t>
    <phoneticPr fontId="2" type="noConversion"/>
  </si>
  <si>
    <t>433-910346-73507</t>
    <phoneticPr fontId="2" type="noConversion"/>
  </si>
  <si>
    <t>저축예금</t>
    <phoneticPr fontId="2" type="noConversion"/>
  </si>
  <si>
    <t>생활통장</t>
    <phoneticPr fontId="2" type="noConversion"/>
  </si>
  <si>
    <t>주거래 하나 통장</t>
    <phoneticPr fontId="2" type="noConversion"/>
  </si>
  <si>
    <t>개설점</t>
    <phoneticPr fontId="2" type="noConversion"/>
  </si>
  <si>
    <t>소득증명</t>
    <phoneticPr fontId="2" type="noConversion"/>
  </si>
  <si>
    <t>급여소득자</t>
    <phoneticPr fontId="2" type="noConversion"/>
  </si>
  <si>
    <t>근로소득원천징수영수증</t>
    <phoneticPr fontId="2" type="noConversion"/>
  </si>
  <si>
    <t>급여(상여)명세서</t>
    <phoneticPr fontId="2" type="noConversion"/>
  </si>
  <si>
    <t>급여계좌 거래내역</t>
    <phoneticPr fontId="2" type="noConversion"/>
  </si>
  <si>
    <t>급여(상여금)명세서</t>
    <phoneticPr fontId="2" type="noConversion"/>
  </si>
  <si>
    <t>자영업자</t>
    <phoneticPr fontId="2" type="noConversion"/>
  </si>
  <si>
    <t>사업자등록증명원</t>
    <phoneticPr fontId="2" type="noConversion"/>
  </si>
  <si>
    <t>부가세과세표준증명원</t>
    <phoneticPr fontId="2" type="noConversion"/>
  </si>
  <si>
    <t>소득금액증명원(면세사업자수입금액증명원)</t>
    <phoneticPr fontId="2" type="noConversion"/>
  </si>
  <si>
    <t>연금소득자</t>
    <phoneticPr fontId="2" type="noConversion"/>
  </si>
  <si>
    <t>연금수령계좌 거래내역</t>
    <phoneticPr fontId="2" type="noConversion"/>
  </si>
  <si>
    <t>사업소득자</t>
    <phoneticPr fontId="2" type="noConversion"/>
  </si>
  <si>
    <t>위촉증명서</t>
    <phoneticPr fontId="2" type="noConversion"/>
  </si>
  <si>
    <t>사업소득원천징수영수증(연말정산용)</t>
    <phoneticPr fontId="2" type="noConversion"/>
  </si>
  <si>
    <t>1년 이상</t>
    <phoneticPr fontId="2" type="noConversion"/>
  </si>
  <si>
    <t>택1</t>
    <phoneticPr fontId="2" type="noConversion"/>
  </si>
  <si>
    <t>주민등록증, 여권</t>
    <phoneticPr fontId="2" type="noConversion"/>
  </si>
  <si>
    <t>거래은행 / 카드</t>
    <phoneticPr fontId="2" type="noConversion"/>
  </si>
  <si>
    <t>신용회복위원회</t>
  </si>
  <si>
    <t>1년 미만</t>
    <phoneticPr fontId="2" type="noConversion"/>
  </si>
  <si>
    <t>110-478-945020</t>
    <phoneticPr fontId="2" type="noConversion"/>
  </si>
  <si>
    <t>예상부채</t>
    <phoneticPr fontId="2" type="noConversion"/>
  </si>
  <si>
    <t>011055331***02</t>
    <phoneticPr fontId="2" type="noConversion"/>
  </si>
  <si>
    <t>서울성모병원(지)</t>
    <phoneticPr fontId="2" type="noConversion"/>
  </si>
  <si>
    <t>직장인우대종합통장</t>
    <phoneticPr fontId="2" type="noConversion"/>
  </si>
  <si>
    <t>연수구청(지)</t>
    <phoneticPr fontId="2" type="noConversion"/>
  </si>
  <si>
    <t>남동기업센터(지)</t>
    <phoneticPr fontId="2" type="noConversion"/>
  </si>
  <si>
    <t>송내역(지)</t>
    <phoneticPr fontId="2" type="noConversion"/>
  </si>
  <si>
    <t>신한 주거래 우대통장(저축예금)</t>
    <phoneticPr fontId="2" type="noConversion"/>
  </si>
  <si>
    <t>국민주청약저축예금(비활동성)</t>
    <phoneticPr fontId="2" type="noConversion"/>
  </si>
  <si>
    <t>인터넷점</t>
    <phoneticPr fontId="2" type="noConversion"/>
  </si>
  <si>
    <t>하나증권</t>
    <phoneticPr fontId="2" type="noConversion"/>
  </si>
  <si>
    <t>금융상품</t>
    <phoneticPr fontId="2" type="noConversion"/>
  </si>
  <si>
    <t>358568***00</t>
    <phoneticPr fontId="2" type="noConversion"/>
  </si>
  <si>
    <t>인천</t>
    <phoneticPr fontId="2" type="noConversion"/>
  </si>
  <si>
    <t>체크</t>
    <phoneticPr fontId="2" type="noConversion"/>
  </si>
  <si>
    <t>신용</t>
    <phoneticPr fontId="2" type="noConversion"/>
  </si>
  <si>
    <t>예금</t>
    <phoneticPr fontId="2" type="noConversion"/>
  </si>
  <si>
    <t>메리츠캐피탈</t>
    <phoneticPr fontId="2" type="noConversion"/>
  </si>
  <si>
    <t>대출</t>
    <phoneticPr fontId="2" type="noConversion"/>
  </si>
  <si>
    <t>카드론</t>
    <phoneticPr fontId="2" type="noConversion"/>
  </si>
  <si>
    <t>신한카드(통합)[금융영업팀]</t>
    <phoneticPr fontId="2" type="noConversion"/>
  </si>
  <si>
    <t>메리츠캐피탈[본점]</t>
    <phoneticPr fontId="2" type="noConversion"/>
  </si>
  <si>
    <t>194하5762(디 올 뉴 그랜저-1.6T Hev)</t>
    <phoneticPr fontId="2" type="noConversion"/>
  </si>
  <si>
    <t>하나캐피탈</t>
    <phoneticPr fontId="2" type="noConversion"/>
  </si>
  <si>
    <t>229하2001(현대 뉴 투산(NX4) 가솔린 1.6 터보</t>
    <phoneticPr fontId="2" type="noConversion"/>
  </si>
  <si>
    <t>보증</t>
    <phoneticPr fontId="2" type="noConversion"/>
  </si>
  <si>
    <t>433-980042-21342</t>
    <phoneticPr fontId="2" type="noConversion"/>
  </si>
  <si>
    <t>인천신보</t>
    <phoneticPr fontId="2" type="noConversion"/>
  </si>
  <si>
    <t>433-980042-20742</t>
    <phoneticPr fontId="2" type="noConversion"/>
  </si>
  <si>
    <t>하나은행 - 운전자금(이차보전)</t>
    <phoneticPr fontId="2" type="noConversion"/>
  </si>
  <si>
    <t>하나은행 - 일반운전자금</t>
    <phoneticPr fontId="2" type="noConversion"/>
  </si>
  <si>
    <t>소계</t>
    <phoneticPr fontId="2" type="noConversion"/>
  </si>
  <si>
    <t>해지 위약금(= 667,370 * 35회)</t>
    <phoneticPr fontId="2" type="noConversion"/>
  </si>
  <si>
    <t>해지 위약금(= 586,850 * 50회)</t>
    <phoneticPr fontId="2" type="noConversion"/>
  </si>
  <si>
    <t>285102-04-255016</t>
    <phoneticPr fontId="2" type="noConversion"/>
  </si>
  <si>
    <t xml:space="preserve">5439-8165-2876-9168 </t>
    <phoneticPr fontId="2" type="noConversion"/>
  </si>
  <si>
    <t>9436-4607-7415-3077</t>
  </si>
  <si>
    <t>3569-0801-1441-9368</t>
    <phoneticPr fontId="2" type="noConversion"/>
  </si>
  <si>
    <t>4619-5410-7354-8347</t>
  </si>
  <si>
    <t xml:space="preserve">Deep Dream(체크)[딥드림] </t>
    <phoneticPr fontId="2" type="noConversion"/>
  </si>
  <si>
    <t>5239-3000-2714-1502</t>
    <phoneticPr fontId="2" type="noConversion"/>
  </si>
  <si>
    <t>5197-1800-0225-6784</t>
    <phoneticPr fontId="2" type="noConversion"/>
  </si>
  <si>
    <t>5239-3000-2724-3100</t>
    <phoneticPr fontId="2" type="noConversion"/>
  </si>
  <si>
    <t>6개월</t>
    <phoneticPr fontId="2" type="noConversion"/>
  </si>
  <si>
    <t>김찬식</t>
    <phoneticPr fontId="2" type="noConversion"/>
  </si>
  <si>
    <t>2015~2025 소득</t>
    <phoneticPr fontId="2" type="noConversion"/>
  </si>
  <si>
    <t>하나캐피탈[본점]</t>
    <phoneticPr fontId="2" type="noConversion"/>
  </si>
  <si>
    <t>렌터카</t>
    <phoneticPr fontId="2" type="noConversion"/>
  </si>
  <si>
    <t>연체</t>
    <phoneticPr fontId="2" type="noConversion"/>
  </si>
  <si>
    <t>인천지법,전자소송</t>
    <phoneticPr fontId="2" type="noConversion"/>
  </si>
  <si>
    <t>인천신용보증재단</t>
    <phoneticPr fontId="2" type="noConversion"/>
  </si>
  <si>
    <t>229하2001/위약금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</si>
</sst>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0" borderId="5" xfId="1" applyFont="1" applyBorder="1">
      <alignment vertical="center"/>
    </xf>
    <xf numFmtId="41" fontId="0" fillId="0" borderId="11" xfId="1" applyFont="1" applyBorder="1">
      <alignment vertical="center"/>
    </xf>
    <xf numFmtId="0" fontId="0" fillId="0" borderId="6" xfId="0" applyBorder="1">
      <alignment vertical="center"/>
    </xf>
    <xf numFmtId="0" fontId="0" fillId="0" borderId="12" xfId="0" applyBorder="1">
      <alignment vertical="center"/>
    </xf>
    <xf numFmtId="0" fontId="0" fillId="0" borderId="5" xfId="0" applyBorder="1" applyAlignment="1">
      <alignment horizontal="left" vertical="center" indent="1"/>
    </xf>
    <xf numFmtId="0" fontId="0" fillId="0" borderId="21" xfId="0" applyBorder="1" applyAlignment="1">
      <alignment horizontal="left" vertical="center" indent="1"/>
    </xf>
    <xf numFmtId="41" fontId="0" fillId="0" borderId="21" xfId="1" applyFont="1" applyBorder="1">
      <alignment vertical="center"/>
    </xf>
    <xf numFmtId="0" fontId="0" fillId="0" borderId="22" xfId="0" applyBorder="1">
      <alignment vertical="center"/>
    </xf>
    <xf numFmtId="0" fontId="0" fillId="0" borderId="11" xfId="0" applyBorder="1" applyAlignment="1">
      <alignment horizontal="left" vertical="center" indent="1"/>
    </xf>
    <xf numFmtId="0" fontId="3" fillId="2" borderId="16" xfId="0" applyFont="1" applyFill="1" applyBorder="1">
      <alignment vertical="center"/>
    </xf>
    <xf numFmtId="41" fontId="3" fillId="2" borderId="16" xfId="1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3" borderId="13" xfId="0" applyFont="1" applyFill="1" applyBorder="1">
      <alignment vertical="center"/>
    </xf>
    <xf numFmtId="22" fontId="4" fillId="3" borderId="13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1" xfId="0" applyBorder="1">
      <alignment vertical="center"/>
    </xf>
    <xf numFmtId="0" fontId="0" fillId="0" borderId="5" xfId="0" applyBorder="1" applyAlignment="1">
      <alignment vertical="center" wrapText="1"/>
    </xf>
    <xf numFmtId="14" fontId="0" fillId="0" borderId="5" xfId="0" applyNumberFormat="1" applyBorder="1" applyAlignment="1">
      <alignment horizontal="center" vertical="center"/>
    </xf>
    <xf numFmtId="41" fontId="0" fillId="0" borderId="6" xfId="1" applyFont="1" applyFill="1" applyBorder="1">
      <alignment vertical="center"/>
    </xf>
    <xf numFmtId="41" fontId="0" fillId="0" borderId="6" xfId="1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>
      <alignment vertical="center"/>
    </xf>
    <xf numFmtId="41" fontId="0" fillId="0" borderId="22" xfId="1" applyFont="1" applyFill="1" applyBorder="1">
      <alignment vertical="center"/>
    </xf>
    <xf numFmtId="14" fontId="0" fillId="0" borderId="21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41" fontId="0" fillId="0" borderId="12" xfId="1" applyFont="1" applyFill="1" applyBorder="1">
      <alignment vertical="center"/>
    </xf>
    <xf numFmtId="0" fontId="0" fillId="0" borderId="5" xfId="0" quotePrefix="1" applyBorder="1">
      <alignment vertical="center"/>
    </xf>
    <xf numFmtId="41" fontId="0" fillId="0" borderId="6" xfId="1" applyFont="1" applyFill="1" applyBorder="1" applyAlignment="1">
      <alignment vertical="center"/>
    </xf>
    <xf numFmtId="41" fontId="0" fillId="0" borderId="6" xfId="1" applyFon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4" fillId="3" borderId="13" xfId="0" applyFont="1" applyFill="1" applyBorder="1" applyAlignment="1">
      <alignment horizontal="right" vertical="center"/>
    </xf>
    <xf numFmtId="0" fontId="4" fillId="3" borderId="23" xfId="0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1" fontId="3" fillId="2" borderId="2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1" fontId="3" fillId="2" borderId="5" xfId="1" applyFont="1" applyFill="1" applyBorder="1" applyAlignment="1">
      <alignment horizontal="center" vertical="center"/>
    </xf>
    <xf numFmtId="41" fontId="3" fillId="2" borderId="5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left" vertical="center" indent="1"/>
    </xf>
    <xf numFmtId="41" fontId="3" fillId="3" borderId="18" xfId="1" applyFont="1" applyFill="1" applyBorder="1">
      <alignment vertical="center"/>
    </xf>
    <xf numFmtId="0" fontId="3" fillId="3" borderId="19" xfId="0" applyFont="1" applyFill="1" applyBorder="1">
      <alignment vertical="center"/>
    </xf>
    <xf numFmtId="41" fontId="3" fillId="2" borderId="14" xfId="1" applyFont="1" applyFill="1" applyBorder="1">
      <alignment vertical="center"/>
    </xf>
    <xf numFmtId="0" fontId="3" fillId="3" borderId="27" xfId="0" applyFont="1" applyFill="1" applyBorder="1" applyAlignment="1">
      <alignment horizontal="left" vertical="center" indent="1"/>
    </xf>
    <xf numFmtId="41" fontId="3" fillId="3" borderId="27" xfId="1" applyFont="1" applyFill="1" applyBorder="1">
      <alignment vertical="center"/>
    </xf>
    <xf numFmtId="0" fontId="3" fillId="3" borderId="28" xfId="0" applyFont="1" applyFill="1" applyBorder="1">
      <alignment vertical="center"/>
    </xf>
    <xf numFmtId="41" fontId="3" fillId="0" borderId="5" xfId="1" applyFont="1" applyBorder="1">
      <alignment vertical="center"/>
    </xf>
    <xf numFmtId="41" fontId="3" fillId="0" borderId="21" xfId="1" applyFont="1" applyBorder="1">
      <alignment vertical="center"/>
    </xf>
    <xf numFmtId="41" fontId="3" fillId="0" borderId="11" xfId="1" applyFon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41" fontId="3" fillId="0" borderId="0" xfId="1" applyFont="1" applyAlignment="1">
      <alignment horizontal="right" vertical="center"/>
    </xf>
    <xf numFmtId="41" fontId="3" fillId="0" borderId="29" xfId="1" applyFont="1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41" fontId="0" fillId="0" borderId="12" xfId="1" applyFont="1" applyBorder="1">
      <alignment vertical="center"/>
    </xf>
    <xf numFmtId="0" fontId="4" fillId="3" borderId="13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41" fontId="0" fillId="0" borderId="22" xfId="1" applyFont="1" applyBorder="1">
      <alignment vertical="center"/>
    </xf>
    <xf numFmtId="41" fontId="0" fillId="0" borderId="6" xfId="1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/>
    </xf>
    <xf numFmtId="0" fontId="3" fillId="3" borderId="18" xfId="0" applyFont="1" applyFill="1" applyBorder="1">
      <alignment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left" vertical="center"/>
    </xf>
    <xf numFmtId="14" fontId="3" fillId="3" borderId="18" xfId="0" applyNumberFormat="1" applyFont="1" applyFill="1" applyBorder="1" applyAlignment="1">
      <alignment horizontal="center" vertical="center"/>
    </xf>
    <xf numFmtId="41" fontId="3" fillId="3" borderId="19" xfId="1" applyFont="1" applyFill="1" applyBorder="1">
      <alignment vertical="center"/>
    </xf>
    <xf numFmtId="0" fontId="3" fillId="2" borderId="17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18" xfId="0" applyFont="1" applyFill="1" applyBorder="1">
      <alignment vertical="center"/>
    </xf>
    <xf numFmtId="41" fontId="3" fillId="2" borderId="19" xfId="0" applyNumberFormat="1" applyFont="1" applyFill="1" applyBorder="1">
      <alignment vertical="center"/>
    </xf>
    <xf numFmtId="0" fontId="3" fillId="2" borderId="30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31" xfId="0" applyFont="1" applyFill="1" applyBorder="1">
      <alignment vertical="center"/>
    </xf>
    <xf numFmtId="0" fontId="3" fillId="2" borderId="31" xfId="0" applyFont="1" applyFill="1" applyBorder="1" applyAlignment="1">
      <alignment horizontal="center" vertical="center"/>
    </xf>
    <xf numFmtId="41" fontId="3" fillId="2" borderId="32" xfId="0" applyNumberFormat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754D-F2B4-4B77-BD54-2C8CAD295492}">
  <sheetPr>
    <pageSetUpPr fitToPage="1"/>
  </sheetPr>
  <dimension ref="A3:H44"/>
  <sheetViews>
    <sheetView tabSelected="1" workbookViewId="0">
      <selection activeCell="K36" sqref="K36"/>
    </sheetView>
  </sheetViews>
  <sheetFormatPr defaultRowHeight="36" customHeight="1" x14ac:dyDescent="0.3"/>
  <cols>
    <col min="1" max="1" width="13" bestFit="1" customWidth="1"/>
    <col min="2" max="2" width="11" bestFit="1" customWidth="1"/>
    <col min="3" max="3" width="43.25" bestFit="1" customWidth="1"/>
    <col min="4" max="4" width="5.25" style="13" bestFit="1" customWidth="1"/>
    <col min="5" max="5" width="21.5" bestFit="1" customWidth="1"/>
    <col min="6" max="6" width="11.125" style="13" bestFit="1" customWidth="1"/>
    <col min="7" max="7" width="16.5" bestFit="1" customWidth="1"/>
    <col min="8" max="8" width="13.625" bestFit="1" customWidth="1"/>
  </cols>
  <sheetData>
    <row r="3" spans="1:8" ht="36" hidden="1" customHeight="1" x14ac:dyDescent="0.3">
      <c r="A3" s="48" t="s">
        <v>74</v>
      </c>
      <c r="B3" s="49"/>
      <c r="C3" s="22" t="s">
        <v>72</v>
      </c>
      <c r="D3" s="87"/>
      <c r="E3" s="23">
        <v>46050.444444444445</v>
      </c>
      <c r="F3" s="54"/>
      <c r="G3" s="54"/>
      <c r="H3" s="55"/>
    </row>
    <row r="4" spans="1:8" ht="36" hidden="1" customHeight="1" x14ac:dyDescent="0.3">
      <c r="A4" s="51" t="s">
        <v>55</v>
      </c>
      <c r="B4" s="42" t="s">
        <v>56</v>
      </c>
      <c r="C4" s="24" t="s">
        <v>57</v>
      </c>
      <c r="D4" s="21"/>
      <c r="E4" s="42" t="s">
        <v>70</v>
      </c>
      <c r="F4" s="56"/>
      <c r="G4" s="56"/>
      <c r="H4" s="57"/>
    </row>
    <row r="5" spans="1:8" ht="36" hidden="1" customHeight="1" x14ac:dyDescent="0.3">
      <c r="A5" s="52"/>
      <c r="B5" s="43"/>
      <c r="C5" s="16" t="s">
        <v>58</v>
      </c>
      <c r="D5" s="18"/>
      <c r="E5" s="43"/>
      <c r="F5" s="44"/>
      <c r="G5" s="44"/>
      <c r="H5" s="45"/>
    </row>
    <row r="6" spans="1:8" ht="36" hidden="1" customHeight="1" x14ac:dyDescent="0.3">
      <c r="A6" s="52"/>
      <c r="B6" s="43"/>
      <c r="C6" s="16" t="s">
        <v>59</v>
      </c>
      <c r="D6" s="18"/>
      <c r="E6" s="43" t="s">
        <v>75</v>
      </c>
      <c r="F6" s="44"/>
      <c r="G6" s="44"/>
      <c r="H6" s="45"/>
    </row>
    <row r="7" spans="1:8" ht="36" hidden="1" customHeight="1" x14ac:dyDescent="0.3">
      <c r="A7" s="52"/>
      <c r="B7" s="43"/>
      <c r="C7" s="16" t="s">
        <v>60</v>
      </c>
      <c r="D7" s="18"/>
      <c r="E7" s="43"/>
      <c r="F7" s="44"/>
      <c r="G7" s="44"/>
      <c r="H7" s="45"/>
    </row>
    <row r="8" spans="1:8" ht="36" hidden="1" customHeight="1" x14ac:dyDescent="0.3">
      <c r="A8" s="52"/>
      <c r="B8" s="43" t="s">
        <v>61</v>
      </c>
      <c r="C8" s="16" t="s">
        <v>62</v>
      </c>
      <c r="D8" s="18"/>
      <c r="E8" s="15"/>
      <c r="F8" s="44"/>
      <c r="G8" s="44"/>
      <c r="H8" s="45"/>
    </row>
    <row r="9" spans="1:8" ht="36" hidden="1" customHeight="1" x14ac:dyDescent="0.3">
      <c r="A9" s="52"/>
      <c r="B9" s="43"/>
      <c r="C9" s="16" t="s">
        <v>63</v>
      </c>
      <c r="D9" s="18"/>
      <c r="E9" s="43" t="s">
        <v>71</v>
      </c>
      <c r="F9" s="44"/>
      <c r="G9" s="44"/>
      <c r="H9" s="45"/>
    </row>
    <row r="10" spans="1:8" ht="36" hidden="1" customHeight="1" x14ac:dyDescent="0.3">
      <c r="A10" s="52"/>
      <c r="B10" s="43"/>
      <c r="C10" s="16" t="s">
        <v>64</v>
      </c>
      <c r="D10" s="18"/>
      <c r="E10" s="43"/>
      <c r="F10" s="44"/>
      <c r="G10" s="44"/>
      <c r="H10" s="45"/>
    </row>
    <row r="11" spans="1:8" ht="36" hidden="1" customHeight="1" x14ac:dyDescent="0.3">
      <c r="A11" s="52"/>
      <c r="B11" s="16" t="s">
        <v>65</v>
      </c>
      <c r="C11" s="16" t="s">
        <v>66</v>
      </c>
      <c r="D11" s="18"/>
      <c r="E11" s="15"/>
      <c r="F11" s="44"/>
      <c r="G11" s="44"/>
      <c r="H11" s="45"/>
    </row>
    <row r="12" spans="1:8" ht="36" hidden="1" customHeight="1" x14ac:dyDescent="0.3">
      <c r="A12" s="52"/>
      <c r="B12" s="43" t="s">
        <v>67</v>
      </c>
      <c r="C12" s="16" t="s">
        <v>68</v>
      </c>
      <c r="D12" s="18"/>
      <c r="E12" s="15"/>
      <c r="F12" s="44"/>
      <c r="G12" s="44"/>
      <c r="H12" s="45"/>
    </row>
    <row r="13" spans="1:8" ht="36" hidden="1" customHeight="1" x14ac:dyDescent="0.3">
      <c r="A13" s="53"/>
      <c r="B13" s="50"/>
      <c r="C13" s="20" t="s">
        <v>69</v>
      </c>
      <c r="D13" s="19"/>
      <c r="E13" s="17"/>
      <c r="F13" s="46"/>
      <c r="G13" s="46"/>
      <c r="H13" s="47"/>
    </row>
    <row r="14" spans="1:8" ht="36" hidden="1" customHeight="1" x14ac:dyDescent="0.3"/>
    <row r="15" spans="1:8" ht="36" customHeight="1" x14ac:dyDescent="0.3">
      <c r="A15" s="91" t="s">
        <v>47</v>
      </c>
      <c r="B15" s="92" t="s">
        <v>48</v>
      </c>
      <c r="C15" s="92" t="s">
        <v>73</v>
      </c>
      <c r="D15" s="92"/>
      <c r="E15" s="92" t="s">
        <v>45</v>
      </c>
      <c r="F15" s="92" t="s">
        <v>46</v>
      </c>
      <c r="G15" s="92" t="s">
        <v>54</v>
      </c>
      <c r="H15" s="93" t="s">
        <v>77</v>
      </c>
    </row>
    <row r="16" spans="1:8" ht="36" customHeight="1" x14ac:dyDescent="0.3">
      <c r="A16" s="36" t="s">
        <v>29</v>
      </c>
      <c r="B16" s="37" t="s">
        <v>93</v>
      </c>
      <c r="C16" s="25" t="s">
        <v>53</v>
      </c>
      <c r="D16" s="37"/>
      <c r="E16" s="25" t="s">
        <v>49</v>
      </c>
      <c r="F16" s="35">
        <v>44615</v>
      </c>
      <c r="G16" s="25" t="s">
        <v>82</v>
      </c>
      <c r="H16" s="38"/>
    </row>
    <row r="17" spans="1:8" ht="36" customHeight="1" x14ac:dyDescent="0.3">
      <c r="A17" s="14" t="s">
        <v>29</v>
      </c>
      <c r="B17" s="18" t="s">
        <v>93</v>
      </c>
      <c r="C17" s="15" t="s">
        <v>51</v>
      </c>
      <c r="D17" s="18"/>
      <c r="E17" s="15" t="s">
        <v>50</v>
      </c>
      <c r="F17" s="27">
        <v>44845</v>
      </c>
      <c r="G17" s="15" t="s">
        <v>82</v>
      </c>
      <c r="H17" s="28"/>
    </row>
    <row r="18" spans="1:8" ht="36" customHeight="1" x14ac:dyDescent="0.3">
      <c r="A18" s="14" t="s">
        <v>28</v>
      </c>
      <c r="B18" s="18" t="s">
        <v>93</v>
      </c>
      <c r="C18" s="15" t="s">
        <v>80</v>
      </c>
      <c r="D18" s="18"/>
      <c r="E18" s="15" t="s">
        <v>111</v>
      </c>
      <c r="F18" s="27">
        <v>41347</v>
      </c>
      <c r="G18" s="15" t="s">
        <v>83</v>
      </c>
      <c r="H18" s="28"/>
    </row>
    <row r="19" spans="1:8" ht="36" customHeight="1" x14ac:dyDescent="0.3">
      <c r="A19" s="14" t="s">
        <v>30</v>
      </c>
      <c r="B19" s="18" t="s">
        <v>93</v>
      </c>
      <c r="C19" s="15" t="s">
        <v>84</v>
      </c>
      <c r="D19" s="18"/>
      <c r="E19" s="15" t="s">
        <v>76</v>
      </c>
      <c r="F19" s="27">
        <v>42951</v>
      </c>
      <c r="G19" s="15" t="s">
        <v>81</v>
      </c>
      <c r="H19" s="28"/>
    </row>
    <row r="20" spans="1:8" ht="36" customHeight="1" x14ac:dyDescent="0.3">
      <c r="A20" s="14" t="s">
        <v>31</v>
      </c>
      <c r="B20" s="18" t="s">
        <v>93</v>
      </c>
      <c r="C20" s="15" t="s">
        <v>85</v>
      </c>
      <c r="D20" s="18"/>
      <c r="E20" s="26" t="s">
        <v>78</v>
      </c>
      <c r="F20" s="27">
        <v>32629</v>
      </c>
      <c r="G20" s="15" t="s">
        <v>79</v>
      </c>
      <c r="H20" s="28"/>
    </row>
    <row r="21" spans="1:8" ht="36" customHeight="1" x14ac:dyDescent="0.3">
      <c r="A21" s="14" t="s">
        <v>32</v>
      </c>
      <c r="B21" s="18" t="s">
        <v>93</v>
      </c>
      <c r="C21" s="15" t="s">
        <v>52</v>
      </c>
      <c r="D21" s="18"/>
      <c r="E21" s="15" t="s">
        <v>44</v>
      </c>
      <c r="F21" s="27">
        <v>45252</v>
      </c>
      <c r="G21" s="15" t="s">
        <v>86</v>
      </c>
      <c r="H21" s="28"/>
    </row>
    <row r="22" spans="1:8" ht="36" customHeight="1" x14ac:dyDescent="0.3">
      <c r="A22" s="14" t="s">
        <v>87</v>
      </c>
      <c r="B22" s="18" t="s">
        <v>93</v>
      </c>
      <c r="C22" s="15" t="s">
        <v>88</v>
      </c>
      <c r="D22" s="18"/>
      <c r="E22" s="15" t="s">
        <v>89</v>
      </c>
      <c r="F22" s="27">
        <v>42025</v>
      </c>
      <c r="G22" s="15" t="s">
        <v>90</v>
      </c>
      <c r="H22" s="28"/>
    </row>
    <row r="23" spans="1:8" ht="36" customHeight="1" x14ac:dyDescent="0.3">
      <c r="A23" s="14" t="s">
        <v>33</v>
      </c>
      <c r="B23" s="18" t="s">
        <v>91</v>
      </c>
      <c r="C23" s="15" t="s">
        <v>39</v>
      </c>
      <c r="D23" s="18" t="s">
        <v>37</v>
      </c>
      <c r="E23" s="15" t="s">
        <v>113</v>
      </c>
      <c r="F23" s="27">
        <v>46142</v>
      </c>
      <c r="G23" s="15"/>
      <c r="H23" s="29"/>
    </row>
    <row r="24" spans="1:8" ht="36" customHeight="1" x14ac:dyDescent="0.3">
      <c r="A24" s="14" t="s">
        <v>33</v>
      </c>
      <c r="B24" s="18" t="s">
        <v>91</v>
      </c>
      <c r="C24" s="15" t="s">
        <v>40</v>
      </c>
      <c r="D24" s="18" t="s">
        <v>37</v>
      </c>
      <c r="E24" s="15" t="s">
        <v>112</v>
      </c>
      <c r="F24" s="27">
        <v>47756</v>
      </c>
      <c r="G24" s="15"/>
      <c r="H24" s="29"/>
    </row>
    <row r="25" spans="1:8" ht="36" customHeight="1" x14ac:dyDescent="0.3">
      <c r="A25" s="14" t="s">
        <v>34</v>
      </c>
      <c r="B25" s="18" t="s">
        <v>92</v>
      </c>
      <c r="C25" s="15" t="s">
        <v>41</v>
      </c>
      <c r="D25" s="18" t="s">
        <v>37</v>
      </c>
      <c r="E25" s="15" t="s">
        <v>114</v>
      </c>
      <c r="F25" s="27">
        <v>47696</v>
      </c>
      <c r="G25" s="15" t="s">
        <v>125</v>
      </c>
      <c r="H25" s="29">
        <v>4763380</v>
      </c>
    </row>
    <row r="26" spans="1:8" ht="36" customHeight="1" x14ac:dyDescent="0.3">
      <c r="A26" s="14" t="s">
        <v>34</v>
      </c>
      <c r="B26" s="18" t="s">
        <v>91</v>
      </c>
      <c r="C26" s="15" t="s">
        <v>116</v>
      </c>
      <c r="D26" s="18" t="s">
        <v>37</v>
      </c>
      <c r="E26" s="15" t="s">
        <v>115</v>
      </c>
      <c r="F26" s="27">
        <v>47300</v>
      </c>
      <c r="G26" s="15"/>
      <c r="H26" s="29"/>
    </row>
    <row r="27" spans="1:8" ht="36" customHeight="1" x14ac:dyDescent="0.3">
      <c r="A27" s="14" t="s">
        <v>35</v>
      </c>
      <c r="B27" s="18" t="s">
        <v>92</v>
      </c>
      <c r="C27" s="15" t="s">
        <v>42</v>
      </c>
      <c r="D27" s="18" t="s">
        <v>37</v>
      </c>
      <c r="E27" s="15" t="s">
        <v>118</v>
      </c>
      <c r="F27" s="27">
        <v>46631</v>
      </c>
      <c r="G27" s="15" t="s">
        <v>125</v>
      </c>
      <c r="H27" s="29">
        <v>2655033</v>
      </c>
    </row>
    <row r="28" spans="1:8" ht="36" customHeight="1" x14ac:dyDescent="0.3">
      <c r="A28" s="14" t="s">
        <v>36</v>
      </c>
      <c r="B28" s="18" t="s">
        <v>92</v>
      </c>
      <c r="C28" s="15" t="s">
        <v>43</v>
      </c>
      <c r="D28" s="18" t="s">
        <v>37</v>
      </c>
      <c r="E28" s="15" t="s">
        <v>117</v>
      </c>
      <c r="F28" s="27">
        <v>46784</v>
      </c>
      <c r="G28" s="15" t="s">
        <v>125</v>
      </c>
      <c r="H28" s="90">
        <v>5011887</v>
      </c>
    </row>
    <row r="29" spans="1:8" ht="36" customHeight="1" x14ac:dyDescent="0.3">
      <c r="A29" s="14" t="s">
        <v>36</v>
      </c>
      <c r="B29" s="18" t="s">
        <v>92</v>
      </c>
      <c r="C29" s="15" t="s">
        <v>43</v>
      </c>
      <c r="D29" s="18" t="s">
        <v>38</v>
      </c>
      <c r="E29" s="15" t="s">
        <v>119</v>
      </c>
      <c r="F29" s="27">
        <v>46631</v>
      </c>
      <c r="G29" s="15" t="s">
        <v>126</v>
      </c>
      <c r="H29" s="90"/>
    </row>
    <row r="30" spans="1:8" ht="36" customHeight="1" x14ac:dyDescent="0.3">
      <c r="A30" s="14" t="s">
        <v>30</v>
      </c>
      <c r="B30" s="18" t="s">
        <v>96</v>
      </c>
      <c r="C30" s="15" t="s">
        <v>97</v>
      </c>
      <c r="D30" s="18"/>
      <c r="E30" s="16"/>
      <c r="F30" s="27">
        <v>45660</v>
      </c>
      <c r="G30" s="15" t="s">
        <v>125</v>
      </c>
      <c r="H30" s="29">
        <v>36066953</v>
      </c>
    </row>
    <row r="31" spans="1:8" ht="36" customHeight="1" x14ac:dyDescent="0.3">
      <c r="A31" s="30" t="s">
        <v>94</v>
      </c>
      <c r="B31" s="31" t="s">
        <v>95</v>
      </c>
      <c r="C31" s="32" t="s">
        <v>98</v>
      </c>
      <c r="D31" s="31"/>
      <c r="E31" s="88"/>
      <c r="F31" s="34">
        <v>45929</v>
      </c>
      <c r="G31" s="32"/>
      <c r="H31" s="89">
        <v>13579000</v>
      </c>
    </row>
    <row r="32" spans="1:8" ht="36" customHeight="1" x14ac:dyDescent="0.3">
      <c r="A32" s="94" t="s">
        <v>108</v>
      </c>
      <c r="B32" s="95"/>
      <c r="C32" s="96"/>
      <c r="D32" s="97"/>
      <c r="E32" s="98"/>
      <c r="F32" s="99"/>
      <c r="G32" s="96"/>
      <c r="H32" s="100">
        <f>SUM(H16:H31)</f>
        <v>62076253</v>
      </c>
    </row>
    <row r="33" spans="1:8" ht="36" customHeight="1" x14ac:dyDescent="0.3">
      <c r="A33" s="36" t="s">
        <v>100</v>
      </c>
      <c r="B33" s="37" t="s">
        <v>124</v>
      </c>
      <c r="C33" s="25" t="s">
        <v>123</v>
      </c>
      <c r="D33" s="37"/>
      <c r="E33" s="85"/>
      <c r="F33" s="35">
        <v>45727</v>
      </c>
      <c r="G33" s="25" t="s">
        <v>128</v>
      </c>
      <c r="H33" s="86">
        <v>11000000</v>
      </c>
    </row>
    <row r="34" spans="1:8" ht="36" customHeight="1" x14ac:dyDescent="0.3">
      <c r="A34" s="14" t="s">
        <v>104</v>
      </c>
      <c r="B34" s="18" t="s">
        <v>102</v>
      </c>
      <c r="C34" s="15" t="s">
        <v>106</v>
      </c>
      <c r="D34" s="18"/>
      <c r="E34" s="15" t="s">
        <v>103</v>
      </c>
      <c r="F34" s="27">
        <v>44778</v>
      </c>
      <c r="G34" s="15" t="s">
        <v>127</v>
      </c>
      <c r="H34" s="28">
        <v>8333352</v>
      </c>
    </row>
    <row r="35" spans="1:8" ht="36" customHeight="1" x14ac:dyDescent="0.3">
      <c r="A35" s="30" t="s">
        <v>104</v>
      </c>
      <c r="B35" s="31" t="s">
        <v>102</v>
      </c>
      <c r="C35" s="32" t="s">
        <v>107</v>
      </c>
      <c r="D35" s="31"/>
      <c r="E35" s="32" t="s">
        <v>105</v>
      </c>
      <c r="F35" s="34">
        <v>44778</v>
      </c>
      <c r="G35" s="32" t="s">
        <v>127</v>
      </c>
      <c r="H35" s="33">
        <v>8333352</v>
      </c>
    </row>
    <row r="36" spans="1:8" ht="36" customHeight="1" thickBot="1" x14ac:dyDescent="0.35">
      <c r="A36" s="101" t="s">
        <v>108</v>
      </c>
      <c r="B36" s="102"/>
      <c r="C36" s="103"/>
      <c r="D36" s="92"/>
      <c r="E36" s="103"/>
      <c r="F36" s="92"/>
      <c r="G36" s="103"/>
      <c r="H36" s="104">
        <f>SUM(H33:H35)</f>
        <v>27666704</v>
      </c>
    </row>
    <row r="37" spans="1:8" ht="36" hidden="1" customHeight="1" x14ac:dyDescent="0.3">
      <c r="A37" s="36"/>
      <c r="B37" s="25"/>
      <c r="C37" s="25"/>
      <c r="D37" s="37"/>
      <c r="E37" s="25"/>
      <c r="F37" s="37"/>
      <c r="G37" s="25"/>
      <c r="H37" s="5"/>
    </row>
    <row r="38" spans="1:8" ht="36" hidden="1" customHeight="1" x14ac:dyDescent="0.3">
      <c r="A38" s="14" t="s">
        <v>94</v>
      </c>
      <c r="B38" s="18" t="s">
        <v>95</v>
      </c>
      <c r="C38" s="15" t="s">
        <v>99</v>
      </c>
      <c r="D38" s="18"/>
      <c r="E38" s="39"/>
      <c r="F38" s="27">
        <v>45237</v>
      </c>
      <c r="G38" s="15"/>
      <c r="H38" s="40">
        <f>667370*35</f>
        <v>23357950</v>
      </c>
    </row>
    <row r="39" spans="1:8" ht="36" hidden="1" customHeight="1" x14ac:dyDescent="0.3">
      <c r="A39" s="14" t="s">
        <v>94</v>
      </c>
      <c r="B39" s="18" t="s">
        <v>95</v>
      </c>
      <c r="C39" s="15" t="s">
        <v>109</v>
      </c>
      <c r="D39" s="18"/>
      <c r="E39" s="39"/>
      <c r="F39" s="27"/>
      <c r="G39" s="15"/>
      <c r="H39" s="40">
        <v>-4458000</v>
      </c>
    </row>
    <row r="40" spans="1:8" ht="36" hidden="1" customHeight="1" x14ac:dyDescent="0.3">
      <c r="A40" s="14" t="s">
        <v>100</v>
      </c>
      <c r="B40" s="18" t="s">
        <v>95</v>
      </c>
      <c r="C40" s="15" t="s">
        <v>101</v>
      </c>
      <c r="D40" s="18"/>
      <c r="E40" s="39"/>
      <c r="F40" s="27">
        <v>45727</v>
      </c>
      <c r="G40" s="15"/>
      <c r="H40" s="41">
        <v>29342500</v>
      </c>
    </row>
    <row r="41" spans="1:8" ht="36" hidden="1" customHeight="1" x14ac:dyDescent="0.3">
      <c r="A41" s="14" t="s">
        <v>100</v>
      </c>
      <c r="B41" s="18" t="s">
        <v>95</v>
      </c>
      <c r="C41" s="15" t="s">
        <v>110</v>
      </c>
      <c r="D41" s="18"/>
      <c r="E41" s="39"/>
      <c r="F41" s="27"/>
      <c r="G41" s="15"/>
      <c r="H41" s="41">
        <v>0</v>
      </c>
    </row>
    <row r="42" spans="1:8" ht="36" hidden="1" customHeight="1" x14ac:dyDescent="0.3">
      <c r="A42" s="14"/>
      <c r="B42" s="15"/>
      <c r="C42" s="15"/>
      <c r="D42" s="18"/>
      <c r="E42" s="15"/>
      <c r="F42" s="18"/>
      <c r="G42" s="15"/>
      <c r="H42" s="4"/>
    </row>
    <row r="43" spans="1:8" ht="36" hidden="1" customHeight="1" thickBot="1" x14ac:dyDescent="0.35">
      <c r="A43" s="30"/>
      <c r="B43" s="32"/>
      <c r="C43" s="32"/>
      <c r="D43" s="31"/>
      <c r="E43" s="32"/>
      <c r="F43" s="31"/>
      <c r="G43" s="32"/>
      <c r="H43" s="9"/>
    </row>
    <row r="44" spans="1:8" ht="36" customHeight="1" thickTop="1" x14ac:dyDescent="0.3">
      <c r="A44" s="105" t="s">
        <v>17</v>
      </c>
      <c r="B44" s="106"/>
      <c r="C44" s="107"/>
      <c r="D44" s="108"/>
      <c r="E44" s="107"/>
      <c r="F44" s="108"/>
      <c r="G44" s="107"/>
      <c r="H44" s="109">
        <f>H32+H36</f>
        <v>89742957</v>
      </c>
    </row>
  </sheetData>
  <mergeCells count="23">
    <mergeCell ref="A32:B32"/>
    <mergeCell ref="A36:B36"/>
    <mergeCell ref="A44:B44"/>
    <mergeCell ref="F12:H12"/>
    <mergeCell ref="F13:H13"/>
    <mergeCell ref="A3:B3"/>
    <mergeCell ref="H28:H29"/>
    <mergeCell ref="B12:B13"/>
    <mergeCell ref="A4:A13"/>
    <mergeCell ref="F3:H3"/>
    <mergeCell ref="F4:H4"/>
    <mergeCell ref="F5:H5"/>
    <mergeCell ref="F6:H6"/>
    <mergeCell ref="F7:H7"/>
    <mergeCell ref="F8:H8"/>
    <mergeCell ref="F9:H9"/>
    <mergeCell ref="F10:H10"/>
    <mergeCell ref="E6:E7"/>
    <mergeCell ref="E4:E5"/>
    <mergeCell ref="E9:E10"/>
    <mergeCell ref="B4:B7"/>
    <mergeCell ref="B8:B10"/>
    <mergeCell ref="F11:H11"/>
  </mergeCells>
  <phoneticPr fontId="2" type="noConversion"/>
  <pageMargins left="0.39370078740157483" right="0.39370078740157483" top="0.59055118110236215" bottom="0.39370078740157483" header="0.31496062992125984" footer="0.31496062992125984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1FDA-9E1E-44E3-A876-6ACDDAC8FC88}">
  <sheetPr>
    <pageSetUpPr fitToPage="1"/>
  </sheetPr>
  <dimension ref="A1:J25"/>
  <sheetViews>
    <sheetView topLeftCell="A11" workbookViewId="0">
      <selection activeCell="O5" sqref="O4:O5"/>
    </sheetView>
  </sheetViews>
  <sheetFormatPr defaultRowHeight="36" customHeight="1" x14ac:dyDescent="0.3"/>
  <cols>
    <col min="1" max="1" width="9.25" style="13" bestFit="1" customWidth="1"/>
    <col min="2" max="2" width="21.375" bestFit="1" customWidth="1"/>
    <col min="3" max="3" width="13.625" style="1" bestFit="1" customWidth="1"/>
    <col min="4" max="5" width="14.875" style="1" bestFit="1" customWidth="1"/>
    <col min="6" max="6" width="12.375" style="1" bestFit="1" customWidth="1"/>
    <col min="7" max="8" width="14.875" style="1" bestFit="1" customWidth="1"/>
    <col min="9" max="9" width="13.625" style="1" bestFit="1" customWidth="1"/>
    <col min="10" max="10" width="9" bestFit="1" customWidth="1"/>
  </cols>
  <sheetData>
    <row r="1" spans="1:10" ht="36" customHeight="1" x14ac:dyDescent="0.3">
      <c r="I1" s="83" t="s">
        <v>122</v>
      </c>
      <c r="J1" s="83"/>
    </row>
    <row r="2" spans="1:10" ht="36" customHeight="1" x14ac:dyDescent="0.3">
      <c r="I2" s="84" t="s">
        <v>121</v>
      </c>
      <c r="J2" s="84"/>
    </row>
    <row r="3" spans="1:10" ht="36" customHeight="1" x14ac:dyDescent="0.3">
      <c r="A3" s="58" t="s">
        <v>3</v>
      </c>
      <c r="B3" s="61" t="s">
        <v>27</v>
      </c>
      <c r="C3" s="60" t="s">
        <v>12</v>
      </c>
      <c r="D3" s="60"/>
      <c r="E3" s="60"/>
      <c r="F3" s="60" t="s">
        <v>3</v>
      </c>
      <c r="G3" s="60"/>
      <c r="H3" s="60"/>
      <c r="I3" s="60" t="s">
        <v>4</v>
      </c>
      <c r="J3" s="59" t="s">
        <v>16</v>
      </c>
    </row>
    <row r="4" spans="1:10" ht="36" customHeight="1" x14ac:dyDescent="0.3">
      <c r="A4" s="62"/>
      <c r="B4" s="63"/>
      <c r="C4" s="64" t="s">
        <v>15</v>
      </c>
      <c r="D4" s="64" t="s">
        <v>0</v>
      </c>
      <c r="E4" s="64" t="s">
        <v>17</v>
      </c>
      <c r="F4" s="64" t="s">
        <v>15</v>
      </c>
      <c r="G4" s="64" t="s">
        <v>0</v>
      </c>
      <c r="H4" s="64" t="s">
        <v>17</v>
      </c>
      <c r="I4" s="65"/>
      <c r="J4" s="66"/>
    </row>
    <row r="5" spans="1:10" ht="36" customHeight="1" x14ac:dyDescent="0.3">
      <c r="A5" s="77" t="s">
        <v>6</v>
      </c>
      <c r="B5" s="6" t="s">
        <v>14</v>
      </c>
      <c r="C5" s="2">
        <v>0</v>
      </c>
      <c r="D5" s="2">
        <v>0</v>
      </c>
      <c r="E5" s="74">
        <f>C5+D5</f>
        <v>0</v>
      </c>
      <c r="F5" s="2">
        <v>0</v>
      </c>
      <c r="G5" s="2">
        <v>0</v>
      </c>
      <c r="H5" s="2">
        <f>F5+G5</f>
        <v>0</v>
      </c>
      <c r="I5" s="74">
        <v>0</v>
      </c>
      <c r="J5" s="4"/>
    </row>
    <row r="6" spans="1:10" ht="36" customHeight="1" x14ac:dyDescent="0.3">
      <c r="A6" s="77" t="s">
        <v>6</v>
      </c>
      <c r="B6" s="6" t="s">
        <v>1</v>
      </c>
      <c r="C6" s="2">
        <v>0</v>
      </c>
      <c r="D6" s="2">
        <v>3338710</v>
      </c>
      <c r="E6" s="74">
        <f>C6+D6</f>
        <v>3338710</v>
      </c>
      <c r="F6" s="2">
        <v>0</v>
      </c>
      <c r="G6" s="2">
        <v>1001613</v>
      </c>
      <c r="H6" s="2">
        <f>F6+G6</f>
        <v>1001613</v>
      </c>
      <c r="I6" s="74">
        <v>0</v>
      </c>
      <c r="J6" s="4" t="s">
        <v>13</v>
      </c>
    </row>
    <row r="7" spans="1:10" ht="36" customHeight="1" x14ac:dyDescent="0.3">
      <c r="A7" s="77" t="s">
        <v>6</v>
      </c>
      <c r="B7" s="6" t="s">
        <v>2</v>
      </c>
      <c r="C7" s="2">
        <v>0</v>
      </c>
      <c r="D7" s="2">
        <v>70000</v>
      </c>
      <c r="E7" s="74">
        <f>C7+D7</f>
        <v>70000</v>
      </c>
      <c r="F7" s="2">
        <v>0</v>
      </c>
      <c r="G7" s="2">
        <v>70000</v>
      </c>
      <c r="H7" s="2">
        <f>F7+G7</f>
        <v>70000</v>
      </c>
      <c r="I7" s="74">
        <v>0</v>
      </c>
      <c r="J7" s="4" t="s">
        <v>24</v>
      </c>
    </row>
    <row r="8" spans="1:10" ht="36" customHeight="1" x14ac:dyDescent="0.3">
      <c r="A8" s="77" t="s">
        <v>5</v>
      </c>
      <c r="B8" s="6" t="s">
        <v>14</v>
      </c>
      <c r="C8" s="2">
        <v>25846170</v>
      </c>
      <c r="D8" s="2">
        <v>16200000</v>
      </c>
      <c r="E8" s="74">
        <f>C8+D8</f>
        <v>42046170</v>
      </c>
      <c r="F8" s="2">
        <v>2326156</v>
      </c>
      <c r="G8" s="2">
        <v>8520000</v>
      </c>
      <c r="H8" s="2">
        <f>F8+G8</f>
        <v>10846156</v>
      </c>
      <c r="I8" s="74">
        <v>18756</v>
      </c>
      <c r="J8" s="4"/>
    </row>
    <row r="9" spans="1:10" ht="36" customHeight="1" x14ac:dyDescent="0.3">
      <c r="A9" s="77" t="s">
        <v>5</v>
      </c>
      <c r="B9" s="6" t="s">
        <v>7</v>
      </c>
      <c r="C9" s="2">
        <v>0</v>
      </c>
      <c r="D9" s="2">
        <v>3800000</v>
      </c>
      <c r="E9" s="74">
        <f>C9+D9</f>
        <v>3800000</v>
      </c>
      <c r="F9" s="2">
        <v>0</v>
      </c>
      <c r="G9" s="2">
        <v>3800000</v>
      </c>
      <c r="H9" s="2">
        <f>F9+G9</f>
        <v>3800000</v>
      </c>
      <c r="I9" s="74">
        <v>0</v>
      </c>
      <c r="J9" s="4" t="s">
        <v>24</v>
      </c>
    </row>
    <row r="10" spans="1:10" ht="36" customHeight="1" x14ac:dyDescent="0.3">
      <c r="A10" s="77" t="s">
        <v>8</v>
      </c>
      <c r="B10" s="6" t="s">
        <v>14</v>
      </c>
      <c r="C10" s="2">
        <v>0</v>
      </c>
      <c r="D10" s="2">
        <v>39400000</v>
      </c>
      <c r="E10" s="74">
        <f t="shared" ref="E10:E23" si="0">C10+D10</f>
        <v>39400000</v>
      </c>
      <c r="F10" s="2"/>
      <c r="G10" s="2">
        <v>39400000</v>
      </c>
      <c r="H10" s="2">
        <f t="shared" ref="H10:H23" si="1">F10+G10</f>
        <v>39400000</v>
      </c>
      <c r="I10" s="74">
        <v>700961</v>
      </c>
      <c r="J10" s="4"/>
    </row>
    <row r="11" spans="1:10" ht="36" customHeight="1" x14ac:dyDescent="0.3">
      <c r="A11" s="77" t="s">
        <v>8</v>
      </c>
      <c r="B11" s="6" t="s">
        <v>7</v>
      </c>
      <c r="C11" s="2">
        <v>0</v>
      </c>
      <c r="D11" s="2">
        <v>3800000</v>
      </c>
      <c r="E11" s="74">
        <f t="shared" ref="E11" si="2">C11+D11</f>
        <v>3800000</v>
      </c>
      <c r="F11" s="2"/>
      <c r="G11" s="2">
        <v>3800000</v>
      </c>
      <c r="H11" s="2">
        <f t="shared" ref="H11" si="3">F11+G11</f>
        <v>3800000</v>
      </c>
      <c r="I11" s="74">
        <v>0</v>
      </c>
      <c r="J11" s="4" t="s">
        <v>24</v>
      </c>
    </row>
    <row r="12" spans="1:10" ht="36" customHeight="1" x14ac:dyDescent="0.3">
      <c r="A12" s="77" t="s">
        <v>9</v>
      </c>
      <c r="B12" s="6" t="s">
        <v>14</v>
      </c>
      <c r="C12" s="2">
        <v>0</v>
      </c>
      <c r="D12" s="2">
        <v>39400000</v>
      </c>
      <c r="E12" s="74">
        <f t="shared" si="0"/>
        <v>39400000</v>
      </c>
      <c r="F12" s="2">
        <v>0</v>
      </c>
      <c r="G12" s="2">
        <v>28240000</v>
      </c>
      <c r="H12" s="2">
        <f t="shared" si="1"/>
        <v>28240000</v>
      </c>
      <c r="I12" s="74">
        <v>700961</v>
      </c>
      <c r="J12" s="4"/>
    </row>
    <row r="13" spans="1:10" ht="36" customHeight="1" x14ac:dyDescent="0.3">
      <c r="A13" s="77" t="s">
        <v>9</v>
      </c>
      <c r="B13" s="6" t="s">
        <v>10</v>
      </c>
      <c r="C13" s="2">
        <v>0</v>
      </c>
      <c r="D13" s="2">
        <v>27016390</v>
      </c>
      <c r="E13" s="74">
        <f t="shared" ref="E13" si="4">C13+D13</f>
        <v>27016390</v>
      </c>
      <c r="F13" s="2">
        <v>0</v>
      </c>
      <c r="G13" s="2">
        <v>17713932</v>
      </c>
      <c r="H13" s="2">
        <f t="shared" ref="H13" si="5">F13+G13</f>
        <v>17713932</v>
      </c>
      <c r="I13" s="74">
        <v>395474</v>
      </c>
      <c r="J13" s="4" t="s">
        <v>13</v>
      </c>
    </row>
    <row r="14" spans="1:10" ht="36" customHeight="1" x14ac:dyDescent="0.3">
      <c r="A14" s="77" t="s">
        <v>11</v>
      </c>
      <c r="B14" s="6" t="s">
        <v>14</v>
      </c>
      <c r="C14" s="2"/>
      <c r="D14" s="2">
        <v>21600000</v>
      </c>
      <c r="E14" s="74">
        <f t="shared" si="0"/>
        <v>21600000</v>
      </c>
      <c r="F14" s="2"/>
      <c r="G14" s="2">
        <v>13210000</v>
      </c>
      <c r="H14" s="2">
        <f t="shared" si="1"/>
        <v>13210000</v>
      </c>
      <c r="I14" s="74">
        <v>47693</v>
      </c>
      <c r="J14" s="4"/>
    </row>
    <row r="15" spans="1:10" ht="36" customHeight="1" x14ac:dyDescent="0.3">
      <c r="A15" s="77" t="s">
        <v>18</v>
      </c>
      <c r="B15" s="6" t="s">
        <v>14</v>
      </c>
      <c r="C15" s="2"/>
      <c r="D15" s="2">
        <v>44000000</v>
      </c>
      <c r="E15" s="74">
        <f t="shared" si="0"/>
        <v>44000000</v>
      </c>
      <c r="F15" s="2"/>
      <c r="G15" s="2">
        <v>32150000</v>
      </c>
      <c r="H15" s="2">
        <f t="shared" si="1"/>
        <v>32150000</v>
      </c>
      <c r="I15" s="74">
        <v>1809855</v>
      </c>
      <c r="J15" s="4"/>
    </row>
    <row r="16" spans="1:10" ht="36" customHeight="1" x14ac:dyDescent="0.3">
      <c r="A16" s="77" t="s">
        <v>18</v>
      </c>
      <c r="B16" s="6" t="s">
        <v>25</v>
      </c>
      <c r="C16" s="2"/>
      <c r="D16" s="2">
        <v>1950000</v>
      </c>
      <c r="E16" s="74">
        <f t="shared" ref="E16" si="6">C16+D16</f>
        <v>1950000</v>
      </c>
      <c r="F16" s="2"/>
      <c r="G16" s="2">
        <v>1950000</v>
      </c>
      <c r="H16" s="2">
        <f t="shared" ref="H16" si="7">F16+G16</f>
        <v>1950000</v>
      </c>
      <c r="I16" s="74">
        <v>0</v>
      </c>
      <c r="J16" s="4" t="s">
        <v>24</v>
      </c>
    </row>
    <row r="17" spans="1:10" ht="36" customHeight="1" x14ac:dyDescent="0.3">
      <c r="A17" s="78" t="s">
        <v>18</v>
      </c>
      <c r="B17" s="7" t="s">
        <v>26</v>
      </c>
      <c r="C17" s="8"/>
      <c r="D17" s="8">
        <v>1750000</v>
      </c>
      <c r="E17" s="75">
        <f t="shared" ref="E17" si="8">C17+D17</f>
        <v>1750000</v>
      </c>
      <c r="F17" s="8"/>
      <c r="G17" s="8">
        <v>1750000</v>
      </c>
      <c r="H17" s="8">
        <f t="shared" ref="H17" si="9">F17+G17</f>
        <v>1750000</v>
      </c>
      <c r="I17" s="75">
        <v>18900</v>
      </c>
      <c r="J17" s="9" t="s">
        <v>24</v>
      </c>
    </row>
    <row r="18" spans="1:10" ht="36" customHeight="1" x14ac:dyDescent="0.3">
      <c r="A18" s="79" t="s">
        <v>108</v>
      </c>
      <c r="B18" s="67"/>
      <c r="C18" s="68">
        <f>SUM(C5:C17)</f>
        <v>25846170</v>
      </c>
      <c r="D18" s="68">
        <f t="shared" ref="D18:I18" si="10">SUM(D5:D17)</f>
        <v>202325100</v>
      </c>
      <c r="E18" s="68">
        <f t="shared" si="10"/>
        <v>228171270</v>
      </c>
      <c r="F18" s="68">
        <f t="shared" si="10"/>
        <v>2326156</v>
      </c>
      <c r="G18" s="68">
        <f t="shared" si="10"/>
        <v>151605545</v>
      </c>
      <c r="H18" s="68">
        <f t="shared" si="10"/>
        <v>153931701</v>
      </c>
      <c r="I18" s="68">
        <f t="shared" si="10"/>
        <v>3692600</v>
      </c>
      <c r="J18" s="69"/>
    </row>
    <row r="19" spans="1:10" ht="36" customHeight="1" x14ac:dyDescent="0.3">
      <c r="A19" s="80" t="s">
        <v>19</v>
      </c>
      <c r="B19" s="10" t="s">
        <v>14</v>
      </c>
      <c r="C19" s="3">
        <v>17505000</v>
      </c>
      <c r="D19" s="3">
        <v>60000000</v>
      </c>
      <c r="E19" s="76">
        <f t="shared" si="0"/>
        <v>77505000</v>
      </c>
      <c r="F19" s="3">
        <v>7111080</v>
      </c>
      <c r="G19" s="3">
        <v>47250000</v>
      </c>
      <c r="H19" s="3">
        <f t="shared" si="1"/>
        <v>54361080</v>
      </c>
      <c r="I19" s="76">
        <v>5545856</v>
      </c>
      <c r="J19" s="5"/>
    </row>
    <row r="20" spans="1:10" ht="36" customHeight="1" x14ac:dyDescent="0.3">
      <c r="A20" s="77" t="s">
        <v>20</v>
      </c>
      <c r="B20" s="6" t="s">
        <v>14</v>
      </c>
      <c r="C20" s="2"/>
      <c r="D20" s="2">
        <v>70800000</v>
      </c>
      <c r="E20" s="74">
        <f t="shared" si="0"/>
        <v>70800000</v>
      </c>
      <c r="F20" s="2"/>
      <c r="G20" s="2">
        <v>57510000</v>
      </c>
      <c r="H20" s="2">
        <f t="shared" si="1"/>
        <v>57510000</v>
      </c>
      <c r="I20" s="74">
        <v>3282185</v>
      </c>
      <c r="J20" s="4"/>
    </row>
    <row r="21" spans="1:10" ht="36" customHeight="1" x14ac:dyDescent="0.3">
      <c r="A21" s="77" t="s">
        <v>21</v>
      </c>
      <c r="B21" s="6" t="s">
        <v>14</v>
      </c>
      <c r="C21" s="2"/>
      <c r="D21" s="2">
        <v>79200000</v>
      </c>
      <c r="E21" s="74">
        <f t="shared" si="0"/>
        <v>79200000</v>
      </c>
      <c r="F21" s="2"/>
      <c r="G21" s="2">
        <v>65490000</v>
      </c>
      <c r="H21" s="2">
        <f t="shared" si="1"/>
        <v>65490000</v>
      </c>
      <c r="I21" s="74">
        <v>5779811</v>
      </c>
      <c r="J21" s="4"/>
    </row>
    <row r="22" spans="1:10" ht="36" customHeight="1" x14ac:dyDescent="0.3">
      <c r="A22" s="77" t="s">
        <v>22</v>
      </c>
      <c r="B22" s="6" t="s">
        <v>14</v>
      </c>
      <c r="C22" s="2"/>
      <c r="D22" s="2">
        <v>43106830</v>
      </c>
      <c r="E22" s="74">
        <f t="shared" si="0"/>
        <v>43106830</v>
      </c>
      <c r="F22" s="2"/>
      <c r="G22" s="2">
        <v>31390806</v>
      </c>
      <c r="H22" s="2">
        <f t="shared" si="1"/>
        <v>31390806</v>
      </c>
      <c r="I22" s="74">
        <v>702615</v>
      </c>
      <c r="J22" s="4"/>
    </row>
    <row r="23" spans="1:10" ht="36" customHeight="1" x14ac:dyDescent="0.3">
      <c r="A23" s="78" t="s">
        <v>23</v>
      </c>
      <c r="B23" s="7" t="s">
        <v>14</v>
      </c>
      <c r="C23" s="8"/>
      <c r="D23" s="8">
        <v>18600000</v>
      </c>
      <c r="E23" s="75">
        <f t="shared" si="0"/>
        <v>18600000</v>
      </c>
      <c r="F23" s="8"/>
      <c r="G23" s="8"/>
      <c r="H23" s="8">
        <f t="shared" si="1"/>
        <v>0</v>
      </c>
      <c r="I23" s="75"/>
      <c r="J23" s="9" t="s">
        <v>120</v>
      </c>
    </row>
    <row r="24" spans="1:10" ht="36" customHeight="1" thickBot="1" x14ac:dyDescent="0.35">
      <c r="A24" s="81" t="s">
        <v>108</v>
      </c>
      <c r="B24" s="71"/>
      <c r="C24" s="72">
        <f>SUM(C19:C23)</f>
        <v>17505000</v>
      </c>
      <c r="D24" s="72">
        <f t="shared" ref="D24:I24" si="11">SUM(D19:D23)</f>
        <v>271706830</v>
      </c>
      <c r="E24" s="72">
        <f t="shared" si="11"/>
        <v>289211830</v>
      </c>
      <c r="F24" s="72">
        <f t="shared" si="11"/>
        <v>7111080</v>
      </c>
      <c r="G24" s="72">
        <f t="shared" si="11"/>
        <v>201640806</v>
      </c>
      <c r="H24" s="72">
        <f t="shared" si="11"/>
        <v>208751886</v>
      </c>
      <c r="I24" s="72">
        <f t="shared" si="11"/>
        <v>15310467</v>
      </c>
      <c r="J24" s="73"/>
    </row>
    <row r="25" spans="1:10" ht="36" customHeight="1" thickTop="1" x14ac:dyDescent="0.3">
      <c r="A25" s="82" t="s">
        <v>17</v>
      </c>
      <c r="B25" s="11"/>
      <c r="C25" s="12">
        <f>C18+C24</f>
        <v>43351170</v>
      </c>
      <c r="D25" s="12">
        <f t="shared" ref="D25:J25" si="12">D18+D24</f>
        <v>474031930</v>
      </c>
      <c r="E25" s="12">
        <f t="shared" si="12"/>
        <v>517383100</v>
      </c>
      <c r="F25" s="12">
        <f t="shared" si="12"/>
        <v>9437236</v>
      </c>
      <c r="G25" s="12">
        <f t="shared" si="12"/>
        <v>353246351</v>
      </c>
      <c r="H25" s="12">
        <f t="shared" si="12"/>
        <v>362683587</v>
      </c>
      <c r="I25" s="12">
        <f t="shared" si="12"/>
        <v>19003067</v>
      </c>
      <c r="J25" s="70">
        <f t="shared" si="12"/>
        <v>0</v>
      </c>
    </row>
  </sheetData>
  <mergeCells count="8">
    <mergeCell ref="I2:J2"/>
    <mergeCell ref="I1:J1"/>
    <mergeCell ref="A3:A4"/>
    <mergeCell ref="J3:J4"/>
    <mergeCell ref="I3:I4"/>
    <mergeCell ref="F3:H3"/>
    <mergeCell ref="C3:E3"/>
    <mergeCell ref="B3:B4"/>
  </mergeCells>
  <phoneticPr fontId="2" type="noConversion"/>
  <pageMargins left="0.39370078740157483" right="0.39370078740157483" top="0.59055118110236227" bottom="0.39370078740157483" header="0.31496062992125984" footer="0.31496062992125984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9465-319A-4B8F-8B0C-37967BFB9F72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B6C6-28CC-48F3-B961-421DB2C90B2A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A209-77FC-45E1-9D91-1A81045F7264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338D-0C9F-4CE1-8088-7ADFCE0ABBA3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36BD-EDCF-475B-BFF5-92AD0701BB65}">
  <dimension ref="A1"/>
  <sheetViews>
    <sheetView workbookViewId="0">
      <selection activeCell="M39" sqref="M39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은행카드통합</vt:lpstr>
      <vt:lpstr>소득금액</vt:lpstr>
      <vt:lpstr>하나은행</vt:lpstr>
      <vt:lpstr>국민은행</vt:lpstr>
      <vt:lpstr>신한은행</vt:lpstr>
      <vt:lpstr>우리은행</vt:lpstr>
      <vt:lpstr>케이뱅크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cp:lastPrinted>2026-01-27T08:51:12Z</cp:lastPrinted>
  <dcterms:created xsi:type="dcterms:W3CDTF">2025-12-24T04:34:38Z</dcterms:created>
  <dcterms:modified xsi:type="dcterms:W3CDTF">2026-01-27T08:56:55Z</dcterms:modified>
</cp:coreProperties>
</file>